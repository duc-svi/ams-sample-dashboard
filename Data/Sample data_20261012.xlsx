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duc_mtran_sydneyvietnaminstitute_org/Documents/Documents/03 - Analysis files/01 - AMS/02 - AMS dashboards/Quarto outputs/Data/"/>
    </mc:Choice>
  </mc:AlternateContent>
  <xr:revisionPtr revIDLastSave="102" documentId="8_{FEBE270D-9887-4AA7-9DED-A2ABC51DE71C}" xr6:coauthVersionLast="47" xr6:coauthVersionMax="47" xr10:uidLastSave="{79736995-FE26-4093-8196-B9C9A74A4FD3}"/>
  <bookViews>
    <workbookView xWindow="-110" yWindow="-110" windowWidth="25820" windowHeight="13900" xr2:uid="{7721B882-8FF1-4AD0-AFA2-88DD92DF095E}"/>
  </bookViews>
  <sheets>
    <sheet name="3 mont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7" i="1" l="1"/>
  <c r="J98" i="1"/>
  <c r="J99" i="1"/>
  <c r="J100" i="1"/>
  <c r="J101" i="1"/>
  <c r="J96" i="1"/>
</calcChain>
</file>

<file path=xl/sharedStrings.xml><?xml version="1.0" encoding="utf-8"?>
<sst xmlns="http://schemas.openxmlformats.org/spreadsheetml/2006/main" count="537" uniqueCount="55">
  <si>
    <t>ingredient</t>
  </si>
  <si>
    <t>content</t>
  </si>
  <si>
    <t>weight_gram</t>
  </si>
  <si>
    <t>quantity</t>
  </si>
  <si>
    <t>dispense_gram</t>
  </si>
  <si>
    <t>ddd_ref</t>
  </si>
  <si>
    <t>Vinphacine 250 250mg/2ml</t>
  </si>
  <si>
    <t>Amikacin</t>
  </si>
  <si>
    <t>250mg/2ml</t>
  </si>
  <si>
    <t>tube</t>
  </si>
  <si>
    <t>Augbactam 1g/200mg</t>
  </si>
  <si>
    <t>Amoxicilin + acid clavulanic</t>
  </si>
  <si>
    <t>vial</t>
  </si>
  <si>
    <t>Tenamyd</t>
  </si>
  <si>
    <t>Cefotaxim</t>
  </si>
  <si>
    <t>cefotaxim</t>
  </si>
  <si>
    <t>Ceftriaxone 1g</t>
  </si>
  <si>
    <t>Ceftriaxon</t>
  </si>
  <si>
    <t>Rocephin 1g I.V 1g</t>
  </si>
  <si>
    <t>Ciprofloxacin Kabi</t>
  </si>
  <si>
    <t>Ciprofloxacin</t>
  </si>
  <si>
    <t>200mg/100ml</t>
  </si>
  <si>
    <t>bottle</t>
  </si>
  <si>
    <t>Levofloxacin/cooper solution for infusion 500mg/100ml</t>
  </si>
  <si>
    <t>Levofloxacin</t>
  </si>
  <si>
    <t>500mg</t>
  </si>
  <si>
    <t>chai</t>
  </si>
  <si>
    <t>Quinvonic 500mg/100ml</t>
  </si>
  <si>
    <t>500mg/100ml</t>
  </si>
  <si>
    <t>Meropenem Kabi 500mg</t>
  </si>
  <si>
    <t>Meropenem</t>
  </si>
  <si>
    <t>Metronidazol Kabi 5mg/ml chai 100ml</t>
  </si>
  <si>
    <t>Metronidazol</t>
  </si>
  <si>
    <t>5mg/ml</t>
  </si>
  <si>
    <t>Vancomycin</t>
  </si>
  <si>
    <t>ddd_100bd</t>
  </si>
  <si>
    <t>stt</t>
  </si>
  <si>
    <t>brand_name</t>
  </si>
  <si>
    <t>Chemacin 500mg</t>
  </si>
  <si>
    <t>Óng</t>
  </si>
  <si>
    <t>1g + 200mg</t>
  </si>
  <si>
    <t>Cefotaxime 1g</t>
  </si>
  <si>
    <t>Rocephin 1g 1.V 1g</t>
  </si>
  <si>
    <t>unit</t>
  </si>
  <si>
    <t>1 g + 200mg</t>
  </si>
  <si>
    <t>Ampicilin + sulbactam</t>
  </si>
  <si>
    <t>1 g + 500mg</t>
  </si>
  <si>
    <t>1g</t>
  </si>
  <si>
    <t>Vancomycin 500mg</t>
  </si>
  <si>
    <t>report_month</t>
  </si>
  <si>
    <t>Bipisyn 1g + 500mg</t>
  </si>
  <si>
    <t>hospital</t>
  </si>
  <si>
    <t>Hospital A</t>
  </si>
  <si>
    <t>Hospital C</t>
  </si>
  <si>
    <t>Hospital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</si>
</sst>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1647-605A-4A9D-94F4-2DB6DAFBF46C}">
  <dimension ref="A1:L106"/>
  <sheetViews>
    <sheetView tabSelected="1" topLeftCell="A67" workbookViewId="0">
      <selection activeCell="J90" sqref="J90"/>
    </sheetView>
  </sheetViews>
  <sheetFormatPr defaultRowHeight="14.5" x14ac:dyDescent="0.35"/>
  <cols>
    <col min="1" max="1" width="3.6328125" bestFit="1" customWidth="1"/>
    <col min="2" max="2" width="45.36328125" bestFit="1" customWidth="1"/>
    <col min="3" max="3" width="23.08984375" bestFit="1" customWidth="1"/>
    <col min="4" max="4" width="12.453125" bestFit="1" customWidth="1"/>
    <col min="5" max="5" width="11" bestFit="1" customWidth="1"/>
    <col min="6" max="6" width="5.54296875" bestFit="1" customWidth="1"/>
    <col min="7" max="7" width="7.36328125" bestFit="1" customWidth="1"/>
    <col min="8" max="8" width="13.08984375" bestFit="1" customWidth="1"/>
    <col min="9" max="9" width="6.81640625" bestFit="1" customWidth="1"/>
    <col min="10" max="10" width="11.54296875" bestFit="1" customWidth="1"/>
    <col min="11" max="11" width="11.7265625" bestFit="1" customWidth="1"/>
  </cols>
  <sheetData>
    <row r="1" spans="1:12" x14ac:dyDescent="0.35">
      <c r="A1" t="s">
        <v>36</v>
      </c>
      <c r="B1" t="s">
        <v>37</v>
      </c>
      <c r="C1" t="s">
        <v>0</v>
      </c>
      <c r="D1" t="s">
        <v>1</v>
      </c>
      <c r="E1" t="s">
        <v>2</v>
      </c>
      <c r="F1" t="s">
        <v>43</v>
      </c>
      <c r="G1" t="s">
        <v>3</v>
      </c>
      <c r="H1" t="s">
        <v>4</v>
      </c>
      <c r="I1" t="s">
        <v>5</v>
      </c>
      <c r="J1" t="s">
        <v>35</v>
      </c>
      <c r="K1" t="s">
        <v>49</v>
      </c>
      <c r="L1" t="s">
        <v>51</v>
      </c>
    </row>
    <row r="2" spans="1:12" x14ac:dyDescent="0.35">
      <c r="A2">
        <v>1</v>
      </c>
      <c r="B2" t="s">
        <v>6</v>
      </c>
      <c r="C2" t="s">
        <v>7</v>
      </c>
      <c r="D2" t="s">
        <v>8</v>
      </c>
      <c r="E2">
        <v>0.25</v>
      </c>
      <c r="F2" t="s">
        <v>9</v>
      </c>
      <c r="G2">
        <v>102</v>
      </c>
      <c r="H2">
        <v>25.5</v>
      </c>
      <c r="I2">
        <v>1</v>
      </c>
      <c r="J2">
        <v>1.681</v>
      </c>
      <c r="K2" s="1">
        <v>46054</v>
      </c>
      <c r="L2" t="s">
        <v>52</v>
      </c>
    </row>
    <row r="3" spans="1:12" x14ac:dyDescent="0.35">
      <c r="A3">
        <v>2</v>
      </c>
      <c r="B3" t="s">
        <v>10</v>
      </c>
      <c r="C3" t="s">
        <v>11</v>
      </c>
      <c r="D3" t="s">
        <v>40</v>
      </c>
      <c r="E3">
        <v>1</v>
      </c>
      <c r="F3" t="s">
        <v>12</v>
      </c>
      <c r="G3">
        <v>29</v>
      </c>
      <c r="H3">
        <v>29</v>
      </c>
      <c r="I3">
        <v>3</v>
      </c>
      <c r="J3">
        <v>0.63700000000000001</v>
      </c>
      <c r="K3" s="1">
        <v>46054</v>
      </c>
      <c r="L3" t="s">
        <v>52</v>
      </c>
    </row>
    <row r="4" spans="1:12" x14ac:dyDescent="0.35">
      <c r="A4">
        <v>3</v>
      </c>
      <c r="B4" t="s">
        <v>13</v>
      </c>
      <c r="C4" t="s">
        <v>14</v>
      </c>
      <c r="D4" t="s">
        <v>47</v>
      </c>
      <c r="E4">
        <v>1</v>
      </c>
      <c r="F4" t="s">
        <v>12</v>
      </c>
      <c r="G4">
        <v>3</v>
      </c>
      <c r="H4">
        <v>3</v>
      </c>
      <c r="I4">
        <v>4</v>
      </c>
      <c r="J4">
        <v>4.9000000000000002E-2</v>
      </c>
      <c r="K4" s="1">
        <v>46054</v>
      </c>
      <c r="L4" t="s">
        <v>52</v>
      </c>
    </row>
    <row r="5" spans="1:12" x14ac:dyDescent="0.35">
      <c r="A5">
        <v>4</v>
      </c>
      <c r="B5" t="s">
        <v>41</v>
      </c>
      <c r="C5" t="s">
        <v>15</v>
      </c>
      <c r="D5" t="s">
        <v>47</v>
      </c>
      <c r="E5">
        <v>1</v>
      </c>
      <c r="F5" t="s">
        <v>12</v>
      </c>
      <c r="G5">
        <v>16</v>
      </c>
      <c r="H5">
        <v>16</v>
      </c>
      <c r="I5">
        <v>4</v>
      </c>
      <c r="J5">
        <v>0.26400000000000001</v>
      </c>
      <c r="K5" s="1">
        <v>46054</v>
      </c>
      <c r="L5" t="s">
        <v>52</v>
      </c>
    </row>
    <row r="6" spans="1:12" x14ac:dyDescent="0.35">
      <c r="A6">
        <v>5</v>
      </c>
      <c r="B6" t="s">
        <v>16</v>
      </c>
      <c r="C6" t="s">
        <v>17</v>
      </c>
      <c r="D6" t="s">
        <v>47</v>
      </c>
      <c r="E6">
        <v>1</v>
      </c>
      <c r="F6" t="s">
        <v>12</v>
      </c>
      <c r="G6">
        <v>218</v>
      </c>
      <c r="H6">
        <v>218</v>
      </c>
      <c r="I6">
        <v>2</v>
      </c>
      <c r="J6">
        <v>7.1849999999999996</v>
      </c>
      <c r="K6" s="1">
        <v>46054</v>
      </c>
      <c r="L6" t="s">
        <v>52</v>
      </c>
    </row>
    <row r="7" spans="1:12" x14ac:dyDescent="0.35">
      <c r="A7">
        <v>6</v>
      </c>
      <c r="B7" t="s">
        <v>18</v>
      </c>
      <c r="C7" t="s">
        <v>17</v>
      </c>
      <c r="D7" t="s">
        <v>47</v>
      </c>
      <c r="E7">
        <v>1</v>
      </c>
      <c r="F7" t="s">
        <v>12</v>
      </c>
      <c r="G7">
        <v>10</v>
      </c>
      <c r="H7">
        <v>10</v>
      </c>
      <c r="I7">
        <v>2</v>
      </c>
      <c r="J7">
        <v>0.33</v>
      </c>
      <c r="K7" s="1">
        <v>46054</v>
      </c>
      <c r="L7" t="s">
        <v>52</v>
      </c>
    </row>
    <row r="8" spans="1:12" x14ac:dyDescent="0.35">
      <c r="A8">
        <v>7</v>
      </c>
      <c r="B8" t="s">
        <v>19</v>
      </c>
      <c r="C8" t="s">
        <v>20</v>
      </c>
      <c r="D8" t="s">
        <v>21</v>
      </c>
      <c r="E8">
        <v>0.2</v>
      </c>
      <c r="F8" t="s">
        <v>22</v>
      </c>
      <c r="G8">
        <v>2</v>
      </c>
      <c r="H8">
        <v>0.4</v>
      </c>
      <c r="I8">
        <v>0.8</v>
      </c>
      <c r="J8">
        <v>3.3000000000000002E-2</v>
      </c>
      <c r="K8" s="1">
        <v>46054</v>
      </c>
      <c r="L8" t="s">
        <v>52</v>
      </c>
    </row>
    <row r="9" spans="1:12" x14ac:dyDescent="0.35">
      <c r="A9">
        <v>8</v>
      </c>
      <c r="B9" t="s">
        <v>23</v>
      </c>
      <c r="C9" t="s">
        <v>24</v>
      </c>
      <c r="D9" t="s">
        <v>25</v>
      </c>
      <c r="E9">
        <v>0.5</v>
      </c>
      <c r="F9" t="s">
        <v>26</v>
      </c>
      <c r="G9">
        <v>11</v>
      </c>
      <c r="H9">
        <v>5.5</v>
      </c>
      <c r="I9">
        <v>0.5</v>
      </c>
      <c r="J9">
        <v>0.72499999999999998</v>
      </c>
      <c r="K9" s="1">
        <v>46054</v>
      </c>
      <c r="L9" t="s">
        <v>52</v>
      </c>
    </row>
    <row r="10" spans="1:12" x14ac:dyDescent="0.35">
      <c r="A10">
        <v>9</v>
      </c>
      <c r="B10" t="s">
        <v>27</v>
      </c>
      <c r="C10" t="s">
        <v>24</v>
      </c>
      <c r="D10" t="s">
        <v>28</v>
      </c>
      <c r="E10">
        <v>0.5</v>
      </c>
      <c r="F10" t="s">
        <v>22</v>
      </c>
      <c r="G10">
        <v>75</v>
      </c>
      <c r="H10">
        <v>37.5</v>
      </c>
      <c r="I10">
        <v>0.5</v>
      </c>
      <c r="J10">
        <v>4.944</v>
      </c>
      <c r="K10" s="1">
        <v>46054</v>
      </c>
      <c r="L10" t="s">
        <v>52</v>
      </c>
    </row>
    <row r="11" spans="1:12" x14ac:dyDescent="0.35">
      <c r="A11">
        <v>10</v>
      </c>
      <c r="B11" t="s">
        <v>29</v>
      </c>
      <c r="C11" t="s">
        <v>30</v>
      </c>
      <c r="D11" t="s">
        <v>25</v>
      </c>
      <c r="E11">
        <v>0.5</v>
      </c>
      <c r="F11" t="s">
        <v>12</v>
      </c>
      <c r="G11">
        <v>36</v>
      </c>
      <c r="H11">
        <v>18</v>
      </c>
      <c r="I11">
        <v>3</v>
      </c>
      <c r="J11">
        <v>0.39600000000000002</v>
      </c>
      <c r="K11" s="1">
        <v>46054</v>
      </c>
      <c r="L11" t="s">
        <v>52</v>
      </c>
    </row>
    <row r="12" spans="1:12" x14ac:dyDescent="0.35">
      <c r="A12">
        <v>11</v>
      </c>
      <c r="B12" t="s">
        <v>31</v>
      </c>
      <c r="C12" t="s">
        <v>32</v>
      </c>
      <c r="D12" t="s">
        <v>33</v>
      </c>
      <c r="E12">
        <v>0.5</v>
      </c>
      <c r="F12" t="s">
        <v>22</v>
      </c>
      <c r="G12">
        <v>50</v>
      </c>
      <c r="H12">
        <v>25</v>
      </c>
      <c r="I12">
        <v>1.5</v>
      </c>
      <c r="J12">
        <v>1.099</v>
      </c>
      <c r="K12" s="1">
        <v>46054</v>
      </c>
      <c r="L12" t="s">
        <v>52</v>
      </c>
    </row>
    <row r="13" spans="1:12" x14ac:dyDescent="0.35">
      <c r="A13">
        <v>12</v>
      </c>
      <c r="B13" t="s">
        <v>34</v>
      </c>
      <c r="C13" t="s">
        <v>34</v>
      </c>
      <c r="D13" t="s">
        <v>25</v>
      </c>
      <c r="E13">
        <v>0.5</v>
      </c>
      <c r="F13" t="s">
        <v>12</v>
      </c>
      <c r="G13">
        <v>1</v>
      </c>
      <c r="H13">
        <v>0.5</v>
      </c>
      <c r="I13">
        <v>2</v>
      </c>
      <c r="J13">
        <v>1.6E-2</v>
      </c>
      <c r="K13" s="1">
        <v>46054</v>
      </c>
      <c r="L13" t="s">
        <v>52</v>
      </c>
    </row>
    <row r="14" spans="1:12" x14ac:dyDescent="0.35">
      <c r="A14">
        <v>13</v>
      </c>
      <c r="B14" t="s">
        <v>6</v>
      </c>
      <c r="C14" t="s">
        <v>7</v>
      </c>
      <c r="D14" t="s">
        <v>8</v>
      </c>
      <c r="E14">
        <v>0.25</v>
      </c>
      <c r="F14" t="s">
        <v>9</v>
      </c>
      <c r="G14">
        <v>30</v>
      </c>
      <c r="H14">
        <v>7.5</v>
      </c>
      <c r="I14">
        <v>1</v>
      </c>
      <c r="J14">
        <v>0.33500000000000002</v>
      </c>
      <c r="K14" s="1">
        <v>46082</v>
      </c>
      <c r="L14" t="s">
        <v>52</v>
      </c>
    </row>
    <row r="15" spans="1:12" x14ac:dyDescent="0.35">
      <c r="A15">
        <v>14</v>
      </c>
      <c r="B15" t="s">
        <v>38</v>
      </c>
      <c r="C15" t="s">
        <v>7</v>
      </c>
      <c r="D15" t="s">
        <v>25</v>
      </c>
      <c r="E15">
        <v>0.5</v>
      </c>
      <c r="F15" t="s">
        <v>39</v>
      </c>
      <c r="G15">
        <v>53</v>
      </c>
      <c r="H15">
        <v>26.5</v>
      </c>
      <c r="I15">
        <v>1</v>
      </c>
      <c r="J15">
        <v>1.1830000000000001</v>
      </c>
      <c r="K15" s="1">
        <v>46082</v>
      </c>
      <c r="L15" t="s">
        <v>52</v>
      </c>
    </row>
    <row r="16" spans="1:12" x14ac:dyDescent="0.35">
      <c r="A16">
        <v>15</v>
      </c>
      <c r="B16" t="s">
        <v>10</v>
      </c>
      <c r="C16" t="s">
        <v>11</v>
      </c>
      <c r="D16" t="s">
        <v>40</v>
      </c>
      <c r="E16">
        <v>1</v>
      </c>
      <c r="F16" t="s">
        <v>12</v>
      </c>
      <c r="G16">
        <v>42</v>
      </c>
      <c r="H16">
        <v>42</v>
      </c>
      <c r="I16">
        <v>3</v>
      </c>
      <c r="J16">
        <v>0.625</v>
      </c>
      <c r="K16" s="1">
        <v>46082</v>
      </c>
      <c r="L16" t="s">
        <v>52</v>
      </c>
    </row>
    <row r="17" spans="1:12" x14ac:dyDescent="0.35">
      <c r="A17">
        <v>16</v>
      </c>
      <c r="B17" t="s">
        <v>41</v>
      </c>
      <c r="C17" t="s">
        <v>14</v>
      </c>
      <c r="D17" t="s">
        <v>47</v>
      </c>
      <c r="E17">
        <v>1</v>
      </c>
      <c r="F17" t="s">
        <v>12</v>
      </c>
      <c r="G17">
        <v>3</v>
      </c>
      <c r="H17">
        <v>3</v>
      </c>
      <c r="I17">
        <v>4</v>
      </c>
      <c r="J17">
        <v>3.3000000000000002E-2</v>
      </c>
      <c r="K17" s="1">
        <v>46082</v>
      </c>
      <c r="L17" t="s">
        <v>52</v>
      </c>
    </row>
    <row r="18" spans="1:12" x14ac:dyDescent="0.35">
      <c r="A18">
        <v>17</v>
      </c>
      <c r="B18" t="s">
        <v>13</v>
      </c>
      <c r="C18" t="s">
        <v>14</v>
      </c>
      <c r="D18" t="s">
        <v>47</v>
      </c>
      <c r="E18">
        <v>1</v>
      </c>
      <c r="F18" t="s">
        <v>12</v>
      </c>
      <c r="G18">
        <v>7</v>
      </c>
      <c r="H18">
        <v>7</v>
      </c>
      <c r="I18">
        <v>4</v>
      </c>
      <c r="J18">
        <v>7.8E-2</v>
      </c>
      <c r="K18" s="1">
        <v>46082</v>
      </c>
      <c r="L18" t="s">
        <v>52</v>
      </c>
    </row>
    <row r="19" spans="1:12" x14ac:dyDescent="0.35">
      <c r="A19">
        <v>18</v>
      </c>
      <c r="B19" t="s">
        <v>16</v>
      </c>
      <c r="C19" t="s">
        <v>17</v>
      </c>
      <c r="D19" t="s">
        <v>47</v>
      </c>
      <c r="E19">
        <v>1</v>
      </c>
      <c r="F19" t="s">
        <v>12</v>
      </c>
      <c r="G19">
        <v>196</v>
      </c>
      <c r="H19">
        <v>196</v>
      </c>
      <c r="I19">
        <v>2</v>
      </c>
      <c r="J19">
        <v>4.3730000000000002</v>
      </c>
      <c r="K19" s="1">
        <v>46082</v>
      </c>
      <c r="L19" t="s">
        <v>52</v>
      </c>
    </row>
    <row r="20" spans="1:12" x14ac:dyDescent="0.35">
      <c r="A20">
        <v>19</v>
      </c>
      <c r="B20" t="s">
        <v>42</v>
      </c>
      <c r="C20" t="s">
        <v>17</v>
      </c>
      <c r="D20" t="s">
        <v>47</v>
      </c>
      <c r="E20">
        <v>1</v>
      </c>
      <c r="F20" t="s">
        <v>12</v>
      </c>
      <c r="G20">
        <v>63</v>
      </c>
      <c r="H20">
        <v>63</v>
      </c>
      <c r="I20">
        <v>2</v>
      </c>
      <c r="J20">
        <v>1.4059999999999999</v>
      </c>
      <c r="K20" s="1">
        <v>46082</v>
      </c>
      <c r="L20" t="s">
        <v>52</v>
      </c>
    </row>
    <row r="21" spans="1:12" x14ac:dyDescent="0.35">
      <c r="A21">
        <v>20</v>
      </c>
      <c r="B21" t="s">
        <v>19</v>
      </c>
      <c r="C21" t="s">
        <v>20</v>
      </c>
      <c r="D21" t="s">
        <v>21</v>
      </c>
      <c r="E21">
        <v>0.2</v>
      </c>
      <c r="F21" t="s">
        <v>26</v>
      </c>
      <c r="G21">
        <v>20</v>
      </c>
      <c r="H21">
        <v>4</v>
      </c>
      <c r="I21">
        <v>0.8</v>
      </c>
      <c r="J21">
        <v>0.223</v>
      </c>
      <c r="K21" s="1">
        <v>46082</v>
      </c>
      <c r="L21" t="s">
        <v>52</v>
      </c>
    </row>
    <row r="22" spans="1:12" x14ac:dyDescent="0.35">
      <c r="A22">
        <v>21</v>
      </c>
      <c r="B22" t="s">
        <v>27</v>
      </c>
      <c r="C22" t="s">
        <v>24</v>
      </c>
      <c r="D22" t="s">
        <v>28</v>
      </c>
      <c r="E22">
        <v>0.5</v>
      </c>
      <c r="F22" t="s">
        <v>26</v>
      </c>
      <c r="G22">
        <v>68</v>
      </c>
      <c r="H22">
        <v>34</v>
      </c>
      <c r="I22">
        <v>0.5</v>
      </c>
      <c r="J22">
        <v>4.4829999999999997</v>
      </c>
      <c r="K22" s="1">
        <v>46082</v>
      </c>
      <c r="L22" t="s">
        <v>52</v>
      </c>
    </row>
    <row r="23" spans="1:12" x14ac:dyDescent="0.35">
      <c r="A23">
        <v>22</v>
      </c>
      <c r="B23" t="s">
        <v>29</v>
      </c>
      <c r="C23" t="s">
        <v>30</v>
      </c>
      <c r="D23" t="s">
        <v>25</v>
      </c>
      <c r="E23">
        <v>0.5</v>
      </c>
      <c r="F23" t="s">
        <v>12</v>
      </c>
      <c r="G23">
        <v>48</v>
      </c>
      <c r="H23">
        <v>24</v>
      </c>
      <c r="I23">
        <v>3</v>
      </c>
      <c r="J23">
        <v>0.35699999999999998</v>
      </c>
      <c r="K23" s="1">
        <v>46082</v>
      </c>
      <c r="L23" t="s">
        <v>52</v>
      </c>
    </row>
    <row r="24" spans="1:12" x14ac:dyDescent="0.35">
      <c r="A24">
        <v>23</v>
      </c>
      <c r="B24" t="s">
        <v>31</v>
      </c>
      <c r="C24" t="s">
        <v>32</v>
      </c>
      <c r="D24" t="s">
        <v>33</v>
      </c>
      <c r="E24">
        <v>0.5</v>
      </c>
      <c r="F24" t="s">
        <v>26</v>
      </c>
      <c r="G24">
        <v>47</v>
      </c>
      <c r="H24">
        <v>23.5</v>
      </c>
      <c r="I24">
        <v>1.5</v>
      </c>
      <c r="J24">
        <v>0.69899999999999995</v>
      </c>
      <c r="K24" s="1">
        <v>46082</v>
      </c>
      <c r="L24" t="s">
        <v>52</v>
      </c>
    </row>
    <row r="25" spans="1:12" x14ac:dyDescent="0.35">
      <c r="A25">
        <v>24</v>
      </c>
      <c r="B25" t="s">
        <v>34</v>
      </c>
      <c r="C25" t="s">
        <v>34</v>
      </c>
      <c r="D25" t="s">
        <v>25</v>
      </c>
      <c r="E25">
        <v>0.5</v>
      </c>
      <c r="F25" t="s">
        <v>12</v>
      </c>
      <c r="G25">
        <v>11</v>
      </c>
      <c r="H25">
        <v>5.5</v>
      </c>
      <c r="I25">
        <v>2</v>
      </c>
      <c r="J25">
        <v>0.123</v>
      </c>
      <c r="K25" s="1">
        <v>46082</v>
      </c>
      <c r="L25" t="s">
        <v>52</v>
      </c>
    </row>
    <row r="26" spans="1:12" x14ac:dyDescent="0.35">
      <c r="A26">
        <v>25</v>
      </c>
      <c r="B26" t="s">
        <v>38</v>
      </c>
      <c r="C26" t="s">
        <v>7</v>
      </c>
      <c r="D26" t="s">
        <v>25</v>
      </c>
      <c r="E26">
        <v>0.5</v>
      </c>
      <c r="F26" t="s">
        <v>9</v>
      </c>
      <c r="G26">
        <v>99</v>
      </c>
      <c r="H26">
        <v>49.5</v>
      </c>
      <c r="I26">
        <v>1</v>
      </c>
      <c r="J26">
        <v>2.698</v>
      </c>
      <c r="K26" s="1">
        <v>46113</v>
      </c>
      <c r="L26" t="s">
        <v>52</v>
      </c>
    </row>
    <row r="27" spans="1:12" x14ac:dyDescent="0.35">
      <c r="A27">
        <v>26</v>
      </c>
      <c r="B27" t="s">
        <v>10</v>
      </c>
      <c r="C27" t="s">
        <v>11</v>
      </c>
      <c r="D27" t="s">
        <v>44</v>
      </c>
      <c r="E27">
        <v>1</v>
      </c>
      <c r="F27" t="s">
        <v>12</v>
      </c>
      <c r="G27">
        <v>53</v>
      </c>
      <c r="H27">
        <v>53</v>
      </c>
      <c r="I27">
        <v>3</v>
      </c>
      <c r="J27">
        <v>0.96299999999999997</v>
      </c>
      <c r="K27" s="1">
        <v>46113</v>
      </c>
      <c r="L27" t="s">
        <v>52</v>
      </c>
    </row>
    <row r="28" spans="1:12" x14ac:dyDescent="0.35">
      <c r="A28">
        <v>27</v>
      </c>
      <c r="B28" t="s">
        <v>50</v>
      </c>
      <c r="C28" t="s">
        <v>45</v>
      </c>
      <c r="D28" t="s">
        <v>46</v>
      </c>
      <c r="E28">
        <v>1</v>
      </c>
      <c r="F28" t="s">
        <v>12</v>
      </c>
      <c r="G28">
        <v>30</v>
      </c>
      <c r="H28">
        <v>30</v>
      </c>
      <c r="I28">
        <v>6</v>
      </c>
      <c r="J28">
        <v>0.27200000000000002</v>
      </c>
      <c r="K28" s="1">
        <v>46113</v>
      </c>
      <c r="L28" t="s">
        <v>52</v>
      </c>
    </row>
    <row r="29" spans="1:12" x14ac:dyDescent="0.35">
      <c r="A29">
        <v>28</v>
      </c>
      <c r="B29" t="s">
        <v>41</v>
      </c>
      <c r="C29" t="s">
        <v>14</v>
      </c>
      <c r="D29" t="s">
        <v>47</v>
      </c>
      <c r="E29">
        <v>1</v>
      </c>
      <c r="F29" t="s">
        <v>12</v>
      </c>
      <c r="G29">
        <v>9</v>
      </c>
      <c r="H29">
        <v>9</v>
      </c>
      <c r="I29">
        <v>4</v>
      </c>
      <c r="J29">
        <v>0.123</v>
      </c>
      <c r="K29" s="1">
        <v>46113</v>
      </c>
      <c r="L29" t="s">
        <v>52</v>
      </c>
    </row>
    <row r="30" spans="1:12" x14ac:dyDescent="0.35">
      <c r="A30">
        <v>29</v>
      </c>
      <c r="B30" t="s">
        <v>16</v>
      </c>
      <c r="C30" t="s">
        <v>17</v>
      </c>
      <c r="D30" t="s">
        <v>47</v>
      </c>
      <c r="E30">
        <v>1</v>
      </c>
      <c r="F30" t="s">
        <v>12</v>
      </c>
      <c r="G30">
        <v>243</v>
      </c>
      <c r="H30">
        <v>243</v>
      </c>
      <c r="I30">
        <v>2</v>
      </c>
      <c r="J30">
        <v>6.6210000000000004</v>
      </c>
      <c r="K30" s="1">
        <v>46113</v>
      </c>
      <c r="L30" t="s">
        <v>52</v>
      </c>
    </row>
    <row r="31" spans="1:12" x14ac:dyDescent="0.35">
      <c r="A31">
        <v>30</v>
      </c>
      <c r="B31" t="s">
        <v>18</v>
      </c>
      <c r="C31" t="s">
        <v>17</v>
      </c>
      <c r="D31" t="s">
        <v>47</v>
      </c>
      <c r="E31">
        <v>1</v>
      </c>
      <c r="F31" t="s">
        <v>12</v>
      </c>
      <c r="G31">
        <v>64</v>
      </c>
      <c r="H31">
        <v>10</v>
      </c>
      <c r="I31">
        <v>2</v>
      </c>
      <c r="J31">
        <v>0.27200000000000002</v>
      </c>
      <c r="K31" s="1">
        <v>46113</v>
      </c>
      <c r="L31" t="s">
        <v>52</v>
      </c>
    </row>
    <row r="32" spans="1:12" x14ac:dyDescent="0.35">
      <c r="A32">
        <v>31</v>
      </c>
      <c r="B32" t="s">
        <v>19</v>
      </c>
      <c r="C32" t="s">
        <v>20</v>
      </c>
      <c r="D32" t="s">
        <v>21</v>
      </c>
      <c r="E32">
        <v>0.2</v>
      </c>
      <c r="F32" t="s">
        <v>26</v>
      </c>
      <c r="G32">
        <v>39</v>
      </c>
      <c r="H32">
        <v>7.8</v>
      </c>
      <c r="I32">
        <v>0.8</v>
      </c>
      <c r="J32">
        <v>0.53100000000000003</v>
      </c>
      <c r="K32" s="1">
        <v>46113</v>
      </c>
      <c r="L32" t="s">
        <v>52</v>
      </c>
    </row>
    <row r="33" spans="1:12" x14ac:dyDescent="0.35">
      <c r="A33">
        <v>32</v>
      </c>
      <c r="B33" t="s">
        <v>27</v>
      </c>
      <c r="C33" t="s">
        <v>24</v>
      </c>
      <c r="D33" t="s">
        <v>28</v>
      </c>
      <c r="E33">
        <v>0.5</v>
      </c>
      <c r="F33" t="s">
        <v>26</v>
      </c>
      <c r="G33">
        <v>55</v>
      </c>
      <c r="H33">
        <v>37.5</v>
      </c>
      <c r="I33">
        <v>0.5</v>
      </c>
      <c r="J33">
        <v>4.0869999999999997</v>
      </c>
      <c r="K33" s="1">
        <v>46113</v>
      </c>
      <c r="L33" t="s">
        <v>52</v>
      </c>
    </row>
    <row r="34" spans="1:12" x14ac:dyDescent="0.35">
      <c r="A34">
        <v>33</v>
      </c>
      <c r="B34" t="s">
        <v>29</v>
      </c>
      <c r="C34" t="s">
        <v>30</v>
      </c>
      <c r="D34" t="s">
        <v>25</v>
      </c>
      <c r="E34">
        <v>0.5</v>
      </c>
      <c r="F34" t="s">
        <v>12</v>
      </c>
      <c r="G34">
        <v>112</v>
      </c>
      <c r="H34">
        <v>56</v>
      </c>
      <c r="I34">
        <v>3</v>
      </c>
      <c r="J34">
        <v>1.0169999999999999</v>
      </c>
      <c r="K34" s="1">
        <v>46113</v>
      </c>
      <c r="L34" t="s">
        <v>52</v>
      </c>
    </row>
    <row r="35" spans="1:12" x14ac:dyDescent="0.35">
      <c r="A35">
        <v>34</v>
      </c>
      <c r="B35" t="s">
        <v>31</v>
      </c>
      <c r="C35" t="s">
        <v>32</v>
      </c>
      <c r="D35" t="s">
        <v>33</v>
      </c>
      <c r="E35">
        <v>0.5</v>
      </c>
      <c r="F35" t="s">
        <v>26</v>
      </c>
      <c r="G35">
        <v>113</v>
      </c>
      <c r="H35">
        <v>56.5</v>
      </c>
      <c r="I35">
        <v>1.5</v>
      </c>
      <c r="J35">
        <v>2.0529999999999999</v>
      </c>
      <c r="K35" s="1">
        <v>46113</v>
      </c>
      <c r="L35" t="s">
        <v>52</v>
      </c>
    </row>
    <row r="36" spans="1:12" x14ac:dyDescent="0.35">
      <c r="A36">
        <v>35</v>
      </c>
      <c r="B36" t="s">
        <v>48</v>
      </c>
      <c r="C36" t="s">
        <v>34</v>
      </c>
      <c r="D36" t="s">
        <v>25</v>
      </c>
      <c r="E36">
        <v>0.5</v>
      </c>
      <c r="F36" t="s">
        <v>12</v>
      </c>
      <c r="G36">
        <v>8</v>
      </c>
      <c r="H36">
        <v>4</v>
      </c>
      <c r="I36">
        <v>2</v>
      </c>
      <c r="J36">
        <v>0.109</v>
      </c>
      <c r="K36" s="1">
        <v>46113</v>
      </c>
      <c r="L36" t="s">
        <v>52</v>
      </c>
    </row>
    <row r="37" spans="1:12" x14ac:dyDescent="0.35">
      <c r="B37" t="s">
        <v>6</v>
      </c>
      <c r="C37" t="s">
        <v>7</v>
      </c>
      <c r="D37" t="s">
        <v>8</v>
      </c>
      <c r="E37">
        <v>0.25</v>
      </c>
      <c r="F37" t="s">
        <v>9</v>
      </c>
      <c r="G37">
        <v>102</v>
      </c>
      <c r="H37">
        <v>25.5</v>
      </c>
      <c r="I37">
        <v>1</v>
      </c>
      <c r="J37" s="2">
        <v>3.7160000000000002</v>
      </c>
      <c r="K37" s="1">
        <v>46054</v>
      </c>
      <c r="L37" t="s">
        <v>54</v>
      </c>
    </row>
    <row r="38" spans="1:12" x14ac:dyDescent="0.35">
      <c r="B38" t="s">
        <v>10</v>
      </c>
      <c r="C38" t="s">
        <v>11</v>
      </c>
      <c r="D38" t="s">
        <v>40</v>
      </c>
      <c r="E38">
        <v>1</v>
      </c>
      <c r="F38" t="s">
        <v>12</v>
      </c>
      <c r="G38">
        <v>29</v>
      </c>
      <c r="H38">
        <v>29</v>
      </c>
      <c r="I38">
        <v>3</v>
      </c>
      <c r="J38" s="2">
        <v>0.45300000000000001</v>
      </c>
      <c r="K38" s="1">
        <v>46054</v>
      </c>
      <c r="L38" t="s">
        <v>54</v>
      </c>
    </row>
    <row r="39" spans="1:12" x14ac:dyDescent="0.35">
      <c r="B39" t="s">
        <v>13</v>
      </c>
      <c r="C39" t="s">
        <v>14</v>
      </c>
      <c r="D39" t="s">
        <v>47</v>
      </c>
      <c r="E39">
        <v>1</v>
      </c>
      <c r="F39" t="s">
        <v>12</v>
      </c>
      <c r="G39">
        <v>3</v>
      </c>
      <c r="H39">
        <v>3</v>
      </c>
      <c r="I39">
        <v>4</v>
      </c>
      <c r="J39" s="2">
        <v>7.5179999999999998</v>
      </c>
      <c r="K39" s="1">
        <v>46054</v>
      </c>
      <c r="L39" t="s">
        <v>54</v>
      </c>
    </row>
    <row r="40" spans="1:12" x14ac:dyDescent="0.35">
      <c r="B40" t="s">
        <v>41</v>
      </c>
      <c r="C40" t="s">
        <v>15</v>
      </c>
      <c r="D40" t="s">
        <v>47</v>
      </c>
      <c r="E40">
        <v>1</v>
      </c>
      <c r="F40" t="s">
        <v>12</v>
      </c>
      <c r="G40">
        <v>16</v>
      </c>
      <c r="H40">
        <v>16</v>
      </c>
      <c r="I40">
        <v>4</v>
      </c>
      <c r="J40" s="2">
        <v>0.45300000000000001</v>
      </c>
      <c r="K40" s="1">
        <v>46054</v>
      </c>
      <c r="L40" t="s">
        <v>54</v>
      </c>
    </row>
    <row r="41" spans="1:12" x14ac:dyDescent="0.35">
      <c r="B41" t="s">
        <v>16</v>
      </c>
      <c r="C41" t="s">
        <v>17</v>
      </c>
      <c r="D41" t="s">
        <v>47</v>
      </c>
      <c r="E41">
        <v>1</v>
      </c>
      <c r="F41" t="s">
        <v>12</v>
      </c>
      <c r="G41">
        <v>218</v>
      </c>
      <c r="H41">
        <v>218</v>
      </c>
      <c r="I41">
        <v>2</v>
      </c>
      <c r="J41" s="2">
        <v>0.65400000000000003</v>
      </c>
      <c r="K41" s="1">
        <v>46054</v>
      </c>
      <c r="L41" t="s">
        <v>54</v>
      </c>
    </row>
    <row r="42" spans="1:12" x14ac:dyDescent="0.35">
      <c r="B42" t="s">
        <v>18</v>
      </c>
      <c r="C42" t="s">
        <v>17</v>
      </c>
      <c r="D42" t="s">
        <v>47</v>
      </c>
      <c r="E42">
        <v>1</v>
      </c>
      <c r="F42" t="s">
        <v>12</v>
      </c>
      <c r="G42">
        <v>10</v>
      </c>
      <c r="H42">
        <v>10</v>
      </c>
      <c r="I42">
        <v>2</v>
      </c>
      <c r="J42" s="2">
        <v>1.6579999999999999</v>
      </c>
      <c r="K42" s="1">
        <v>46054</v>
      </c>
      <c r="L42" t="s">
        <v>54</v>
      </c>
    </row>
    <row r="43" spans="1:12" x14ac:dyDescent="0.35">
      <c r="B43" t="s">
        <v>19</v>
      </c>
      <c r="C43" t="s">
        <v>20</v>
      </c>
      <c r="D43" t="s">
        <v>21</v>
      </c>
      <c r="E43">
        <v>0.2</v>
      </c>
      <c r="F43" t="s">
        <v>22</v>
      </c>
      <c r="G43">
        <v>2</v>
      </c>
      <c r="H43">
        <v>0.4</v>
      </c>
      <c r="I43">
        <v>0.8</v>
      </c>
      <c r="J43" s="2">
        <v>0.66600000000000004</v>
      </c>
      <c r="K43" s="1">
        <v>46054</v>
      </c>
      <c r="L43" t="s">
        <v>54</v>
      </c>
    </row>
    <row r="44" spans="1:12" x14ac:dyDescent="0.35">
      <c r="B44" t="s">
        <v>23</v>
      </c>
      <c r="C44" t="s">
        <v>24</v>
      </c>
      <c r="D44" t="s">
        <v>25</v>
      </c>
      <c r="E44">
        <v>0.5</v>
      </c>
      <c r="F44" t="s">
        <v>26</v>
      </c>
      <c r="G44">
        <v>11</v>
      </c>
      <c r="H44">
        <v>5.5</v>
      </c>
      <c r="I44">
        <v>0.5</v>
      </c>
      <c r="J44" s="2">
        <v>2.9529999999999998</v>
      </c>
      <c r="K44" s="1">
        <v>46054</v>
      </c>
      <c r="L44" t="s">
        <v>54</v>
      </c>
    </row>
    <row r="45" spans="1:12" x14ac:dyDescent="0.35">
      <c r="B45" t="s">
        <v>27</v>
      </c>
      <c r="C45" t="s">
        <v>24</v>
      </c>
      <c r="D45" t="s">
        <v>28</v>
      </c>
      <c r="E45">
        <v>0.5</v>
      </c>
      <c r="F45" t="s">
        <v>22</v>
      </c>
      <c r="G45">
        <v>75</v>
      </c>
      <c r="H45">
        <v>37.5</v>
      </c>
      <c r="I45">
        <v>0.5</v>
      </c>
      <c r="J45" s="2">
        <v>0.86499999999999999</v>
      </c>
      <c r="K45" s="1">
        <v>46054</v>
      </c>
      <c r="L45" t="s">
        <v>54</v>
      </c>
    </row>
    <row r="46" spans="1:12" x14ac:dyDescent="0.35">
      <c r="B46" t="s">
        <v>29</v>
      </c>
      <c r="C46" t="s">
        <v>30</v>
      </c>
      <c r="D46" t="s">
        <v>25</v>
      </c>
      <c r="E46">
        <v>0.5</v>
      </c>
      <c r="F46" t="s">
        <v>12</v>
      </c>
      <c r="G46">
        <v>36</v>
      </c>
      <c r="H46">
        <v>18</v>
      </c>
      <c r="I46">
        <v>3</v>
      </c>
      <c r="J46" s="2">
        <v>2.7109999999999999</v>
      </c>
      <c r="K46" s="1">
        <v>46054</v>
      </c>
      <c r="L46" t="s">
        <v>54</v>
      </c>
    </row>
    <row r="47" spans="1:12" x14ac:dyDescent="0.35">
      <c r="B47" t="s">
        <v>31</v>
      </c>
      <c r="C47" t="s">
        <v>32</v>
      </c>
      <c r="D47" t="s">
        <v>33</v>
      </c>
      <c r="E47">
        <v>0.5</v>
      </c>
      <c r="F47" t="s">
        <v>22</v>
      </c>
      <c r="G47">
        <v>50</v>
      </c>
      <c r="H47">
        <v>25</v>
      </c>
      <c r="I47">
        <v>1.5</v>
      </c>
      <c r="J47" s="2">
        <v>6.79</v>
      </c>
      <c r="K47" s="1">
        <v>46054</v>
      </c>
      <c r="L47" t="s">
        <v>54</v>
      </c>
    </row>
    <row r="48" spans="1:12" x14ac:dyDescent="0.35">
      <c r="B48" t="s">
        <v>34</v>
      </c>
      <c r="C48" t="s">
        <v>34</v>
      </c>
      <c r="D48" t="s">
        <v>25</v>
      </c>
      <c r="E48">
        <v>0.5</v>
      </c>
      <c r="F48" t="s">
        <v>12</v>
      </c>
      <c r="G48">
        <v>1</v>
      </c>
      <c r="H48">
        <v>0.5</v>
      </c>
      <c r="I48">
        <v>2</v>
      </c>
      <c r="J48" s="2">
        <v>5.3259999999999996</v>
      </c>
      <c r="K48" s="1">
        <v>46054</v>
      </c>
      <c r="L48" t="s">
        <v>54</v>
      </c>
    </row>
    <row r="49" spans="2:12" x14ac:dyDescent="0.35">
      <c r="B49" t="s">
        <v>6</v>
      </c>
      <c r="C49" t="s">
        <v>7</v>
      </c>
      <c r="D49" t="s">
        <v>8</v>
      </c>
      <c r="E49">
        <v>0.25</v>
      </c>
      <c r="F49" t="s">
        <v>9</v>
      </c>
      <c r="G49">
        <v>30</v>
      </c>
      <c r="H49">
        <v>7.5</v>
      </c>
      <c r="I49">
        <v>1</v>
      </c>
      <c r="J49" s="2">
        <v>0.58899999999999997</v>
      </c>
      <c r="K49" s="1">
        <v>46082</v>
      </c>
      <c r="L49" t="s">
        <v>54</v>
      </c>
    </row>
    <row r="50" spans="2:12" x14ac:dyDescent="0.35">
      <c r="B50" t="s">
        <v>38</v>
      </c>
      <c r="C50" t="s">
        <v>7</v>
      </c>
      <c r="D50" t="s">
        <v>25</v>
      </c>
      <c r="E50">
        <v>0.5</v>
      </c>
      <c r="F50" t="s">
        <v>39</v>
      </c>
      <c r="G50">
        <v>53</v>
      </c>
      <c r="H50">
        <v>26.5</v>
      </c>
      <c r="I50">
        <v>1</v>
      </c>
      <c r="J50" s="2">
        <v>2.9039999999999999</v>
      </c>
      <c r="K50" s="1">
        <v>46082</v>
      </c>
      <c r="L50" t="s">
        <v>54</v>
      </c>
    </row>
    <row r="51" spans="2:12" x14ac:dyDescent="0.35">
      <c r="B51" t="s">
        <v>10</v>
      </c>
      <c r="C51" t="s">
        <v>11</v>
      </c>
      <c r="D51" t="s">
        <v>40</v>
      </c>
      <c r="E51">
        <v>1</v>
      </c>
      <c r="F51" t="s">
        <v>12</v>
      </c>
      <c r="G51">
        <v>42</v>
      </c>
      <c r="H51">
        <v>42</v>
      </c>
      <c r="I51">
        <v>3</v>
      </c>
      <c r="J51" s="2">
        <v>1.986</v>
      </c>
      <c r="K51" s="1">
        <v>46082</v>
      </c>
      <c r="L51" t="s">
        <v>54</v>
      </c>
    </row>
    <row r="52" spans="2:12" x14ac:dyDescent="0.35">
      <c r="B52" t="s">
        <v>41</v>
      </c>
      <c r="C52" t="s">
        <v>14</v>
      </c>
      <c r="D52" t="s">
        <v>47</v>
      </c>
      <c r="E52">
        <v>1</v>
      </c>
      <c r="F52" t="s">
        <v>12</v>
      </c>
      <c r="G52">
        <v>3</v>
      </c>
      <c r="H52">
        <v>3</v>
      </c>
      <c r="I52">
        <v>4</v>
      </c>
      <c r="J52" s="2">
        <v>2.516</v>
      </c>
      <c r="K52" s="1">
        <v>46082</v>
      </c>
      <c r="L52" t="s">
        <v>54</v>
      </c>
    </row>
    <row r="53" spans="2:12" x14ac:dyDescent="0.35">
      <c r="B53" t="s">
        <v>13</v>
      </c>
      <c r="C53" t="s">
        <v>14</v>
      </c>
      <c r="D53" t="s">
        <v>47</v>
      </c>
      <c r="E53">
        <v>1</v>
      </c>
      <c r="F53" t="s">
        <v>12</v>
      </c>
      <c r="G53">
        <v>7</v>
      </c>
      <c r="H53">
        <v>7</v>
      </c>
      <c r="I53">
        <v>4</v>
      </c>
      <c r="J53" s="2">
        <v>1.097</v>
      </c>
      <c r="K53" s="1">
        <v>46082</v>
      </c>
      <c r="L53" t="s">
        <v>54</v>
      </c>
    </row>
    <row r="54" spans="2:12" x14ac:dyDescent="0.35">
      <c r="B54" t="s">
        <v>16</v>
      </c>
      <c r="C54" t="s">
        <v>17</v>
      </c>
      <c r="D54" t="s">
        <v>47</v>
      </c>
      <c r="E54">
        <v>1</v>
      </c>
      <c r="F54" t="s">
        <v>12</v>
      </c>
      <c r="G54">
        <v>196</v>
      </c>
      <c r="H54">
        <v>196</v>
      </c>
      <c r="I54">
        <v>2</v>
      </c>
      <c r="J54" s="2">
        <v>1.9970000000000001</v>
      </c>
      <c r="K54" s="1">
        <v>46082</v>
      </c>
      <c r="L54" t="s">
        <v>54</v>
      </c>
    </row>
    <row r="55" spans="2:12" x14ac:dyDescent="0.35">
      <c r="B55" t="s">
        <v>42</v>
      </c>
      <c r="C55" t="s">
        <v>17</v>
      </c>
      <c r="D55" t="s">
        <v>47</v>
      </c>
      <c r="E55">
        <v>1</v>
      </c>
      <c r="F55" t="s">
        <v>12</v>
      </c>
      <c r="G55">
        <v>63</v>
      </c>
      <c r="H55">
        <v>63</v>
      </c>
      <c r="I55">
        <v>2</v>
      </c>
      <c r="J55" s="2">
        <v>1.9510000000000001</v>
      </c>
      <c r="K55" s="1">
        <v>46082</v>
      </c>
      <c r="L55" t="s">
        <v>54</v>
      </c>
    </row>
    <row r="56" spans="2:12" x14ac:dyDescent="0.35">
      <c r="B56" t="s">
        <v>19</v>
      </c>
      <c r="C56" t="s">
        <v>20</v>
      </c>
      <c r="D56" t="s">
        <v>21</v>
      </c>
      <c r="E56">
        <v>0.2</v>
      </c>
      <c r="F56" t="s">
        <v>26</v>
      </c>
      <c r="G56">
        <v>20</v>
      </c>
      <c r="H56">
        <v>4</v>
      </c>
      <c r="I56">
        <v>0.8</v>
      </c>
      <c r="J56" s="2">
        <v>1.552</v>
      </c>
      <c r="K56" s="1">
        <v>46082</v>
      </c>
      <c r="L56" t="s">
        <v>54</v>
      </c>
    </row>
    <row r="57" spans="2:12" x14ac:dyDescent="0.35">
      <c r="B57" t="s">
        <v>27</v>
      </c>
      <c r="C57" t="s">
        <v>24</v>
      </c>
      <c r="D57" t="s">
        <v>28</v>
      </c>
      <c r="E57">
        <v>0.5</v>
      </c>
      <c r="F57" t="s">
        <v>26</v>
      </c>
      <c r="G57">
        <v>68</v>
      </c>
      <c r="H57">
        <v>34</v>
      </c>
      <c r="I57">
        <v>0.5</v>
      </c>
      <c r="J57" s="2">
        <v>9.1920000000000002</v>
      </c>
      <c r="K57" s="1">
        <v>46082</v>
      </c>
      <c r="L57" t="s">
        <v>54</v>
      </c>
    </row>
    <row r="58" spans="2:12" x14ac:dyDescent="0.35">
      <c r="B58" t="s">
        <v>29</v>
      </c>
      <c r="C58" t="s">
        <v>30</v>
      </c>
      <c r="D58" t="s">
        <v>25</v>
      </c>
      <c r="E58">
        <v>0.5</v>
      </c>
      <c r="F58" t="s">
        <v>12</v>
      </c>
      <c r="G58">
        <v>48</v>
      </c>
      <c r="H58">
        <v>24</v>
      </c>
      <c r="I58">
        <v>3</v>
      </c>
      <c r="J58" s="2">
        <v>1.7999999999999999E-2</v>
      </c>
      <c r="K58" s="1">
        <v>46082</v>
      </c>
      <c r="L58" t="s">
        <v>54</v>
      </c>
    </row>
    <row r="59" spans="2:12" x14ac:dyDescent="0.35">
      <c r="B59" t="s">
        <v>31</v>
      </c>
      <c r="C59" t="s">
        <v>32</v>
      </c>
      <c r="D59" t="s">
        <v>33</v>
      </c>
      <c r="E59">
        <v>0.5</v>
      </c>
      <c r="F59" t="s">
        <v>26</v>
      </c>
      <c r="G59">
        <v>47</v>
      </c>
      <c r="H59">
        <v>23.5</v>
      </c>
      <c r="I59">
        <v>1.5</v>
      </c>
      <c r="J59" s="2">
        <v>6.6420000000000003</v>
      </c>
      <c r="K59" s="1">
        <v>46082</v>
      </c>
      <c r="L59" t="s">
        <v>54</v>
      </c>
    </row>
    <row r="60" spans="2:12" x14ac:dyDescent="0.35">
      <c r="B60" t="s">
        <v>34</v>
      </c>
      <c r="C60" t="s">
        <v>34</v>
      </c>
      <c r="D60" t="s">
        <v>25</v>
      </c>
      <c r="E60">
        <v>0.5</v>
      </c>
      <c r="F60" t="s">
        <v>12</v>
      </c>
      <c r="G60">
        <v>11</v>
      </c>
      <c r="H60">
        <v>5.5</v>
      </c>
      <c r="I60">
        <v>2</v>
      </c>
      <c r="J60" s="2">
        <v>0.16500000000000001</v>
      </c>
      <c r="K60" s="1">
        <v>46082</v>
      </c>
      <c r="L60" t="s">
        <v>54</v>
      </c>
    </row>
    <row r="61" spans="2:12" x14ac:dyDescent="0.35">
      <c r="B61" t="s">
        <v>38</v>
      </c>
      <c r="C61" t="s">
        <v>7</v>
      </c>
      <c r="D61" t="s">
        <v>25</v>
      </c>
      <c r="E61">
        <v>0.5</v>
      </c>
      <c r="F61" t="s">
        <v>9</v>
      </c>
      <c r="G61">
        <v>99</v>
      </c>
      <c r="H61">
        <v>49.5</v>
      </c>
      <c r="I61">
        <v>1</v>
      </c>
      <c r="J61" s="2">
        <v>1.2170000000000001</v>
      </c>
      <c r="K61" s="1">
        <v>46113</v>
      </c>
      <c r="L61" t="s">
        <v>54</v>
      </c>
    </row>
    <row r="62" spans="2:12" x14ac:dyDescent="0.35">
      <c r="B62" t="s">
        <v>10</v>
      </c>
      <c r="C62" t="s">
        <v>11</v>
      </c>
      <c r="D62" t="s">
        <v>44</v>
      </c>
      <c r="E62">
        <v>1</v>
      </c>
      <c r="F62" t="s">
        <v>12</v>
      </c>
      <c r="G62">
        <v>53</v>
      </c>
      <c r="H62">
        <v>53</v>
      </c>
      <c r="I62">
        <v>3</v>
      </c>
      <c r="J62" s="2">
        <v>0.54900000000000004</v>
      </c>
      <c r="K62" s="1">
        <v>46113</v>
      </c>
      <c r="L62" t="s">
        <v>54</v>
      </c>
    </row>
    <row r="63" spans="2:12" x14ac:dyDescent="0.35">
      <c r="B63" t="s">
        <v>50</v>
      </c>
      <c r="C63" t="s">
        <v>45</v>
      </c>
      <c r="D63" t="s">
        <v>46</v>
      </c>
      <c r="E63">
        <v>1</v>
      </c>
      <c r="F63" t="s">
        <v>12</v>
      </c>
      <c r="G63">
        <v>30</v>
      </c>
      <c r="H63">
        <v>30</v>
      </c>
      <c r="I63">
        <v>6</v>
      </c>
      <c r="J63" s="2">
        <v>0.89100000000000001</v>
      </c>
      <c r="K63" s="1">
        <v>46113</v>
      </c>
      <c r="L63" t="s">
        <v>54</v>
      </c>
    </row>
    <row r="64" spans="2:12" x14ac:dyDescent="0.35">
      <c r="B64" t="s">
        <v>41</v>
      </c>
      <c r="C64" t="s">
        <v>14</v>
      </c>
      <c r="D64" t="s">
        <v>47</v>
      </c>
      <c r="E64">
        <v>1</v>
      </c>
      <c r="F64" t="s">
        <v>12</v>
      </c>
      <c r="G64">
        <v>9</v>
      </c>
      <c r="H64">
        <v>9</v>
      </c>
      <c r="I64">
        <v>4</v>
      </c>
      <c r="J64" s="2">
        <v>6.21</v>
      </c>
      <c r="K64" s="1">
        <v>46113</v>
      </c>
      <c r="L64" t="s">
        <v>54</v>
      </c>
    </row>
    <row r="65" spans="2:12" x14ac:dyDescent="0.35">
      <c r="B65" t="s">
        <v>16</v>
      </c>
      <c r="C65" t="s">
        <v>17</v>
      </c>
      <c r="D65" t="s">
        <v>47</v>
      </c>
      <c r="E65">
        <v>1</v>
      </c>
      <c r="F65" t="s">
        <v>12</v>
      </c>
      <c r="G65">
        <v>243</v>
      </c>
      <c r="H65">
        <v>243</v>
      </c>
      <c r="I65">
        <v>2</v>
      </c>
      <c r="J65" s="2">
        <v>0.27500000000000002</v>
      </c>
      <c r="K65" s="1">
        <v>46113</v>
      </c>
      <c r="L65" t="s">
        <v>54</v>
      </c>
    </row>
    <row r="66" spans="2:12" x14ac:dyDescent="0.35">
      <c r="B66" t="s">
        <v>18</v>
      </c>
      <c r="C66" t="s">
        <v>17</v>
      </c>
      <c r="D66" t="s">
        <v>47</v>
      </c>
      <c r="E66">
        <v>1</v>
      </c>
      <c r="F66" t="s">
        <v>12</v>
      </c>
      <c r="G66">
        <v>64</v>
      </c>
      <c r="H66">
        <v>10</v>
      </c>
      <c r="I66">
        <v>2</v>
      </c>
      <c r="J66" s="2">
        <v>1.6719999999999999</v>
      </c>
      <c r="K66" s="1">
        <v>46113</v>
      </c>
      <c r="L66" t="s">
        <v>54</v>
      </c>
    </row>
    <row r="67" spans="2:12" x14ac:dyDescent="0.35">
      <c r="B67" t="s">
        <v>19</v>
      </c>
      <c r="C67" t="s">
        <v>20</v>
      </c>
      <c r="D67" t="s">
        <v>21</v>
      </c>
      <c r="E67">
        <v>0.2</v>
      </c>
      <c r="F67" t="s">
        <v>26</v>
      </c>
      <c r="G67">
        <v>39</v>
      </c>
      <c r="H67">
        <v>7.8</v>
      </c>
      <c r="I67">
        <v>0.8</v>
      </c>
      <c r="J67" s="2">
        <v>1.4830000000000001</v>
      </c>
      <c r="K67" s="1">
        <v>46113</v>
      </c>
      <c r="L67" t="s">
        <v>54</v>
      </c>
    </row>
    <row r="68" spans="2:12" x14ac:dyDescent="0.35">
      <c r="B68" t="s">
        <v>27</v>
      </c>
      <c r="C68" t="s">
        <v>24</v>
      </c>
      <c r="D68" t="s">
        <v>28</v>
      </c>
      <c r="E68">
        <v>0.5</v>
      </c>
      <c r="F68" t="s">
        <v>26</v>
      </c>
      <c r="G68">
        <v>55</v>
      </c>
      <c r="H68">
        <v>37.5</v>
      </c>
      <c r="I68">
        <v>0.5</v>
      </c>
      <c r="J68" s="2">
        <v>0.49299999999999999</v>
      </c>
      <c r="K68" s="1">
        <v>46113</v>
      </c>
      <c r="L68" t="s">
        <v>54</v>
      </c>
    </row>
    <row r="69" spans="2:12" x14ac:dyDescent="0.35">
      <c r="B69" t="s">
        <v>29</v>
      </c>
      <c r="C69" t="s">
        <v>30</v>
      </c>
      <c r="D69" t="s">
        <v>25</v>
      </c>
      <c r="E69">
        <v>0.5</v>
      </c>
      <c r="F69" t="s">
        <v>12</v>
      </c>
      <c r="G69">
        <v>112</v>
      </c>
      <c r="H69">
        <v>56</v>
      </c>
      <c r="I69">
        <v>3</v>
      </c>
      <c r="J69" s="2">
        <v>1.393</v>
      </c>
      <c r="K69" s="1">
        <v>46113</v>
      </c>
      <c r="L69" t="s">
        <v>54</v>
      </c>
    </row>
    <row r="70" spans="2:12" x14ac:dyDescent="0.35">
      <c r="B70" t="s">
        <v>31</v>
      </c>
      <c r="C70" t="s">
        <v>32</v>
      </c>
      <c r="D70" t="s">
        <v>33</v>
      </c>
      <c r="E70">
        <v>0.5</v>
      </c>
      <c r="F70" t="s">
        <v>26</v>
      </c>
      <c r="G70">
        <v>113</v>
      </c>
      <c r="H70">
        <v>56.5</v>
      </c>
      <c r="I70">
        <v>1.5</v>
      </c>
      <c r="J70" s="2">
        <v>5.54</v>
      </c>
      <c r="K70" s="1">
        <v>46113</v>
      </c>
      <c r="L70" t="s">
        <v>54</v>
      </c>
    </row>
    <row r="71" spans="2:12" x14ac:dyDescent="0.35">
      <c r="B71" t="s">
        <v>48</v>
      </c>
      <c r="C71" t="s">
        <v>34</v>
      </c>
      <c r="D71" t="s">
        <v>25</v>
      </c>
      <c r="E71">
        <v>0.5</v>
      </c>
      <c r="F71" t="s">
        <v>12</v>
      </c>
      <c r="G71">
        <v>8</v>
      </c>
      <c r="H71">
        <v>4</v>
      </c>
      <c r="I71">
        <v>2</v>
      </c>
      <c r="J71" s="2">
        <v>8.4130000000000003</v>
      </c>
      <c r="K71" s="1">
        <v>46113</v>
      </c>
      <c r="L71" t="s">
        <v>54</v>
      </c>
    </row>
    <row r="72" spans="2:12" x14ac:dyDescent="0.35">
      <c r="B72" t="s">
        <v>6</v>
      </c>
      <c r="C72" t="s">
        <v>7</v>
      </c>
      <c r="D72" t="s">
        <v>8</v>
      </c>
      <c r="E72">
        <v>0.25</v>
      </c>
      <c r="F72" t="s">
        <v>9</v>
      </c>
      <c r="G72">
        <v>102</v>
      </c>
      <c r="H72">
        <v>25.5</v>
      </c>
      <c r="I72">
        <v>1</v>
      </c>
      <c r="J72" s="2">
        <v>0.72799999999999998</v>
      </c>
      <c r="K72" s="1">
        <v>46054</v>
      </c>
      <c r="L72" t="s">
        <v>53</v>
      </c>
    </row>
    <row r="73" spans="2:12" x14ac:dyDescent="0.35">
      <c r="B73" t="s">
        <v>10</v>
      </c>
      <c r="C73" t="s">
        <v>11</v>
      </c>
      <c r="D73" t="s">
        <v>40</v>
      </c>
      <c r="E73">
        <v>1</v>
      </c>
      <c r="F73" t="s">
        <v>12</v>
      </c>
      <c r="G73">
        <v>29</v>
      </c>
      <c r="H73">
        <v>29</v>
      </c>
      <c r="I73">
        <v>3</v>
      </c>
      <c r="J73" s="2">
        <v>0.13300000000000001</v>
      </c>
      <c r="K73" s="1">
        <v>46054</v>
      </c>
      <c r="L73" t="s">
        <v>53</v>
      </c>
    </row>
    <row r="74" spans="2:12" x14ac:dyDescent="0.35">
      <c r="B74" t="s">
        <v>13</v>
      </c>
      <c r="C74" t="s">
        <v>14</v>
      </c>
      <c r="D74" t="s">
        <v>47</v>
      </c>
      <c r="E74">
        <v>1</v>
      </c>
      <c r="F74" t="s">
        <v>12</v>
      </c>
      <c r="G74">
        <v>3</v>
      </c>
      <c r="H74">
        <v>3</v>
      </c>
      <c r="I74">
        <v>4</v>
      </c>
      <c r="J74" s="2">
        <v>1.0329999999999999</v>
      </c>
      <c r="K74" s="1">
        <v>46054</v>
      </c>
      <c r="L74" t="s">
        <v>53</v>
      </c>
    </row>
    <row r="75" spans="2:12" x14ac:dyDescent="0.35">
      <c r="B75" t="s">
        <v>41</v>
      </c>
      <c r="C75" t="s">
        <v>15</v>
      </c>
      <c r="D75" t="s">
        <v>47</v>
      </c>
      <c r="E75">
        <v>1</v>
      </c>
      <c r="F75" t="s">
        <v>12</v>
      </c>
      <c r="G75">
        <v>16</v>
      </c>
      <c r="H75">
        <v>16</v>
      </c>
      <c r="I75">
        <v>4</v>
      </c>
      <c r="J75" s="2">
        <v>1.1739999999999999</v>
      </c>
      <c r="K75" s="1">
        <v>46054</v>
      </c>
      <c r="L75" t="s">
        <v>53</v>
      </c>
    </row>
    <row r="76" spans="2:12" x14ac:dyDescent="0.35">
      <c r="B76" t="s">
        <v>16</v>
      </c>
      <c r="C76" t="s">
        <v>17</v>
      </c>
      <c r="D76" t="s">
        <v>47</v>
      </c>
      <c r="E76">
        <v>1</v>
      </c>
      <c r="F76" t="s">
        <v>12</v>
      </c>
      <c r="G76">
        <v>218</v>
      </c>
      <c r="H76">
        <v>218</v>
      </c>
      <c r="I76">
        <v>2</v>
      </c>
      <c r="J76" s="2">
        <v>0.47099999999999997</v>
      </c>
      <c r="K76" s="1">
        <v>46054</v>
      </c>
      <c r="L76" t="s">
        <v>53</v>
      </c>
    </row>
    <row r="77" spans="2:12" x14ac:dyDescent="0.35">
      <c r="B77" t="s">
        <v>18</v>
      </c>
      <c r="C77" t="s">
        <v>17</v>
      </c>
      <c r="D77" t="s">
        <v>47</v>
      </c>
      <c r="E77">
        <v>1</v>
      </c>
      <c r="F77" t="s">
        <v>12</v>
      </c>
      <c r="G77">
        <v>10</v>
      </c>
      <c r="H77">
        <v>10</v>
      </c>
      <c r="I77">
        <v>2</v>
      </c>
      <c r="J77" s="2">
        <v>1.5009999999999999</v>
      </c>
      <c r="K77" s="1">
        <v>46054</v>
      </c>
      <c r="L77" t="s">
        <v>53</v>
      </c>
    </row>
    <row r="78" spans="2:12" x14ac:dyDescent="0.35">
      <c r="B78" t="s">
        <v>19</v>
      </c>
      <c r="C78" t="s">
        <v>20</v>
      </c>
      <c r="D78" t="s">
        <v>21</v>
      </c>
      <c r="E78">
        <v>0.2</v>
      </c>
      <c r="F78" t="s">
        <v>22</v>
      </c>
      <c r="G78">
        <v>2</v>
      </c>
      <c r="H78">
        <v>0.4</v>
      </c>
      <c r="I78">
        <v>0.8</v>
      </c>
      <c r="J78" s="2">
        <v>0.54100000000000004</v>
      </c>
      <c r="K78" s="1">
        <v>46054</v>
      </c>
      <c r="L78" t="s">
        <v>53</v>
      </c>
    </row>
    <row r="79" spans="2:12" x14ac:dyDescent="0.35">
      <c r="B79" t="s">
        <v>23</v>
      </c>
      <c r="C79" t="s">
        <v>24</v>
      </c>
      <c r="D79" t="s">
        <v>25</v>
      </c>
      <c r="E79">
        <v>0.5</v>
      </c>
      <c r="F79" t="s">
        <v>26</v>
      </c>
      <c r="G79">
        <v>11</v>
      </c>
      <c r="H79">
        <v>5.5</v>
      </c>
      <c r="I79">
        <v>0.5</v>
      </c>
      <c r="J79" s="2">
        <v>5.165</v>
      </c>
      <c r="K79" s="1">
        <v>46054</v>
      </c>
      <c r="L79" t="s">
        <v>53</v>
      </c>
    </row>
    <row r="80" spans="2:12" x14ac:dyDescent="0.35">
      <c r="B80" t="s">
        <v>27</v>
      </c>
      <c r="C80" t="s">
        <v>24</v>
      </c>
      <c r="D80" t="s">
        <v>28</v>
      </c>
      <c r="E80">
        <v>0.5</v>
      </c>
      <c r="F80" t="s">
        <v>22</v>
      </c>
      <c r="G80">
        <v>75</v>
      </c>
      <c r="H80">
        <v>37.5</v>
      </c>
      <c r="I80">
        <v>0.5</v>
      </c>
      <c r="J80" s="2">
        <v>3.9830000000000001</v>
      </c>
      <c r="K80" s="1">
        <v>46054</v>
      </c>
      <c r="L80" t="s">
        <v>53</v>
      </c>
    </row>
    <row r="81" spans="2:12" x14ac:dyDescent="0.35">
      <c r="B81" t="s">
        <v>29</v>
      </c>
      <c r="C81" t="s">
        <v>30</v>
      </c>
      <c r="D81" t="s">
        <v>25</v>
      </c>
      <c r="E81">
        <v>0.5</v>
      </c>
      <c r="F81" t="s">
        <v>12</v>
      </c>
      <c r="G81">
        <v>36</v>
      </c>
      <c r="H81">
        <v>18</v>
      </c>
      <c r="I81">
        <v>3</v>
      </c>
      <c r="J81" s="2">
        <v>5.298</v>
      </c>
      <c r="K81" s="1">
        <v>46054</v>
      </c>
      <c r="L81" t="s">
        <v>53</v>
      </c>
    </row>
    <row r="82" spans="2:12" x14ac:dyDescent="0.35">
      <c r="B82" t="s">
        <v>31</v>
      </c>
      <c r="C82" t="s">
        <v>32</v>
      </c>
      <c r="D82" t="s">
        <v>33</v>
      </c>
      <c r="E82">
        <v>0.5</v>
      </c>
      <c r="F82" t="s">
        <v>22</v>
      </c>
      <c r="G82">
        <v>50</v>
      </c>
      <c r="H82">
        <v>25</v>
      </c>
      <c r="I82">
        <v>1.5</v>
      </c>
      <c r="J82" s="2">
        <v>2.302</v>
      </c>
      <c r="K82" s="1">
        <v>46054</v>
      </c>
      <c r="L82" t="s">
        <v>53</v>
      </c>
    </row>
    <row r="83" spans="2:12" x14ac:dyDescent="0.35">
      <c r="B83" t="s">
        <v>34</v>
      </c>
      <c r="C83" t="s">
        <v>34</v>
      </c>
      <c r="D83" t="s">
        <v>25</v>
      </c>
      <c r="E83">
        <v>0.5</v>
      </c>
      <c r="F83" t="s">
        <v>12</v>
      </c>
      <c r="G83">
        <v>1</v>
      </c>
      <c r="H83">
        <v>0.5</v>
      </c>
      <c r="I83">
        <v>2</v>
      </c>
      <c r="J83" s="2">
        <v>0.57299999999999995</v>
      </c>
      <c r="K83" s="1">
        <v>46054</v>
      </c>
      <c r="L83" t="s">
        <v>53</v>
      </c>
    </row>
    <row r="84" spans="2:12" x14ac:dyDescent="0.35">
      <c r="B84" t="s">
        <v>6</v>
      </c>
      <c r="C84" t="s">
        <v>7</v>
      </c>
      <c r="D84" t="s">
        <v>8</v>
      </c>
      <c r="E84">
        <v>0.25</v>
      </c>
      <c r="F84" t="s">
        <v>9</v>
      </c>
      <c r="G84">
        <v>30</v>
      </c>
      <c r="H84">
        <v>7.5</v>
      </c>
      <c r="I84">
        <v>1</v>
      </c>
      <c r="J84" s="2">
        <v>6.7309999999999999</v>
      </c>
      <c r="K84" s="1">
        <v>46082</v>
      </c>
      <c r="L84" t="s">
        <v>53</v>
      </c>
    </row>
    <row r="85" spans="2:12" x14ac:dyDescent="0.35">
      <c r="B85" t="s">
        <v>38</v>
      </c>
      <c r="C85" t="s">
        <v>7</v>
      </c>
      <c r="D85" t="s">
        <v>25</v>
      </c>
      <c r="E85">
        <v>0.5</v>
      </c>
      <c r="F85" t="s">
        <v>39</v>
      </c>
      <c r="G85">
        <v>53</v>
      </c>
      <c r="H85">
        <v>26.5</v>
      </c>
      <c r="I85">
        <v>1</v>
      </c>
      <c r="J85" s="2">
        <v>4.6120000000000001</v>
      </c>
      <c r="K85" s="1">
        <v>46082</v>
      </c>
      <c r="L85" t="s">
        <v>53</v>
      </c>
    </row>
    <row r="86" spans="2:12" x14ac:dyDescent="0.35">
      <c r="B86" t="s">
        <v>10</v>
      </c>
      <c r="C86" t="s">
        <v>11</v>
      </c>
      <c r="D86" t="s">
        <v>40</v>
      </c>
      <c r="E86">
        <v>1</v>
      </c>
      <c r="F86" t="s">
        <v>12</v>
      </c>
      <c r="G86">
        <v>42</v>
      </c>
      <c r="H86">
        <v>42</v>
      </c>
      <c r="I86">
        <v>3</v>
      </c>
      <c r="J86" s="2">
        <v>4.4560000000000004</v>
      </c>
      <c r="K86" s="1">
        <v>46082</v>
      </c>
      <c r="L86" t="s">
        <v>53</v>
      </c>
    </row>
    <row r="87" spans="2:12" x14ac:dyDescent="0.35">
      <c r="B87" t="s">
        <v>41</v>
      </c>
      <c r="C87" t="s">
        <v>14</v>
      </c>
      <c r="D87" t="s">
        <v>47</v>
      </c>
      <c r="E87">
        <v>1</v>
      </c>
      <c r="F87" t="s">
        <v>12</v>
      </c>
      <c r="G87">
        <v>3</v>
      </c>
      <c r="H87">
        <v>3</v>
      </c>
      <c r="I87">
        <v>4</v>
      </c>
      <c r="J87" s="2">
        <v>5.9029999999999996</v>
      </c>
      <c r="K87" s="1">
        <v>46082</v>
      </c>
      <c r="L87" t="s">
        <v>53</v>
      </c>
    </row>
    <row r="88" spans="2:12" x14ac:dyDescent="0.35">
      <c r="B88" t="s">
        <v>13</v>
      </c>
      <c r="C88" t="s">
        <v>14</v>
      </c>
      <c r="D88" t="s">
        <v>47</v>
      </c>
      <c r="E88">
        <v>1</v>
      </c>
      <c r="F88" t="s">
        <v>12</v>
      </c>
      <c r="G88">
        <v>7</v>
      </c>
      <c r="H88">
        <v>7</v>
      </c>
      <c r="I88">
        <v>4</v>
      </c>
      <c r="J88" s="2">
        <v>9.98</v>
      </c>
      <c r="K88" s="1">
        <v>46082</v>
      </c>
      <c r="L88" t="s">
        <v>53</v>
      </c>
    </row>
    <row r="89" spans="2:12" x14ac:dyDescent="0.35">
      <c r="B89" t="s">
        <v>16</v>
      </c>
      <c r="C89" t="s">
        <v>17</v>
      </c>
      <c r="D89" t="s">
        <v>47</v>
      </c>
      <c r="E89">
        <v>1</v>
      </c>
      <c r="F89" t="s">
        <v>12</v>
      </c>
      <c r="G89">
        <v>196</v>
      </c>
      <c r="H89">
        <v>196</v>
      </c>
      <c r="I89">
        <v>2</v>
      </c>
      <c r="J89" s="2">
        <v>0.68500000000000005</v>
      </c>
      <c r="K89" s="1">
        <v>46082</v>
      </c>
      <c r="L89" t="s">
        <v>53</v>
      </c>
    </row>
    <row r="90" spans="2:12" x14ac:dyDescent="0.35">
      <c r="B90" t="s">
        <v>42</v>
      </c>
      <c r="C90" t="s">
        <v>17</v>
      </c>
      <c r="D90" t="s">
        <v>47</v>
      </c>
      <c r="E90">
        <v>1</v>
      </c>
      <c r="F90" t="s">
        <v>12</v>
      </c>
      <c r="G90">
        <v>63</v>
      </c>
      <c r="H90">
        <v>63</v>
      </c>
      <c r="I90">
        <v>2</v>
      </c>
      <c r="J90" s="2">
        <v>4.5030000000000001</v>
      </c>
      <c r="K90" s="1">
        <v>46082</v>
      </c>
      <c r="L90" t="s">
        <v>53</v>
      </c>
    </row>
    <row r="91" spans="2:12" x14ac:dyDescent="0.35">
      <c r="B91" t="s">
        <v>19</v>
      </c>
      <c r="C91" t="s">
        <v>20</v>
      </c>
      <c r="D91" t="s">
        <v>21</v>
      </c>
      <c r="E91">
        <v>0.2</v>
      </c>
      <c r="F91" t="s">
        <v>26</v>
      </c>
      <c r="G91">
        <v>20</v>
      </c>
      <c r="H91">
        <v>4</v>
      </c>
      <c r="I91">
        <v>0.8</v>
      </c>
      <c r="J91" s="2">
        <v>1.087</v>
      </c>
      <c r="K91" s="1">
        <v>46082</v>
      </c>
      <c r="L91" t="s">
        <v>53</v>
      </c>
    </row>
    <row r="92" spans="2:12" x14ac:dyDescent="0.35">
      <c r="B92" t="s">
        <v>27</v>
      </c>
      <c r="C92" t="s">
        <v>24</v>
      </c>
      <c r="D92" t="s">
        <v>28</v>
      </c>
      <c r="E92">
        <v>0.5</v>
      </c>
      <c r="F92" t="s">
        <v>26</v>
      </c>
      <c r="G92">
        <v>68</v>
      </c>
      <c r="H92">
        <v>34</v>
      </c>
      <c r="I92">
        <v>0.5</v>
      </c>
      <c r="J92" s="2">
        <v>0.70799999999999996</v>
      </c>
      <c r="K92" s="1">
        <v>46082</v>
      </c>
      <c r="L92" t="s">
        <v>53</v>
      </c>
    </row>
    <row r="93" spans="2:12" x14ac:dyDescent="0.35">
      <c r="B93" t="s">
        <v>29</v>
      </c>
      <c r="C93" t="s">
        <v>30</v>
      </c>
      <c r="D93" t="s">
        <v>25</v>
      </c>
      <c r="E93">
        <v>0.5</v>
      </c>
      <c r="F93" t="s">
        <v>12</v>
      </c>
      <c r="G93">
        <v>48</v>
      </c>
      <c r="H93">
        <v>24</v>
      </c>
      <c r="I93">
        <v>3</v>
      </c>
      <c r="J93" s="2">
        <v>2.0699999999999998</v>
      </c>
      <c r="K93" s="1">
        <v>46082</v>
      </c>
      <c r="L93" t="s">
        <v>53</v>
      </c>
    </row>
    <row r="94" spans="2:12" x14ac:dyDescent="0.35">
      <c r="B94" t="s">
        <v>31</v>
      </c>
      <c r="C94" t="s">
        <v>32</v>
      </c>
      <c r="D94" t="s">
        <v>33</v>
      </c>
      <c r="E94">
        <v>0.5</v>
      </c>
      <c r="F94" t="s">
        <v>26</v>
      </c>
      <c r="G94">
        <v>47</v>
      </c>
      <c r="H94">
        <v>23.5</v>
      </c>
      <c r="I94">
        <v>1.5</v>
      </c>
      <c r="J94" s="2">
        <v>2.2709999999999999</v>
      </c>
      <c r="K94" s="1">
        <v>46082</v>
      </c>
      <c r="L94" t="s">
        <v>53</v>
      </c>
    </row>
    <row r="95" spans="2:12" x14ac:dyDescent="0.35">
      <c r="B95" t="s">
        <v>34</v>
      </c>
      <c r="C95" t="s">
        <v>34</v>
      </c>
      <c r="D95" t="s">
        <v>25</v>
      </c>
      <c r="E95">
        <v>0.5</v>
      </c>
      <c r="F95" t="s">
        <v>12</v>
      </c>
      <c r="G95">
        <v>11</v>
      </c>
      <c r="H95">
        <v>5.5</v>
      </c>
      <c r="I95">
        <v>2</v>
      </c>
      <c r="J95" s="2">
        <v>4.7110000000000003</v>
      </c>
      <c r="K95" s="1">
        <v>46082</v>
      </c>
      <c r="L95" t="s">
        <v>53</v>
      </c>
    </row>
    <row r="96" spans="2:12" x14ac:dyDescent="0.35">
      <c r="B96" t="s">
        <v>38</v>
      </c>
      <c r="C96" t="s">
        <v>7</v>
      </c>
      <c r="D96" t="s">
        <v>25</v>
      </c>
      <c r="E96">
        <v>0.5</v>
      </c>
      <c r="F96" t="s">
        <v>9</v>
      </c>
      <c r="G96">
        <v>99</v>
      </c>
      <c r="H96">
        <v>49.5</v>
      </c>
      <c r="I96">
        <v>1</v>
      </c>
      <c r="J96" s="2">
        <f ca="1">RANDBETWEEN(100, 2000)/1000</f>
        <v>1.6950000000000001</v>
      </c>
      <c r="K96" s="1">
        <v>46113</v>
      </c>
      <c r="L96" t="s">
        <v>53</v>
      </c>
    </row>
    <row r="97" spans="2:12" x14ac:dyDescent="0.35">
      <c r="B97" t="s">
        <v>10</v>
      </c>
      <c r="C97" t="s">
        <v>11</v>
      </c>
      <c r="D97" t="s">
        <v>44</v>
      </c>
      <c r="E97">
        <v>1</v>
      </c>
      <c r="F97" t="s">
        <v>12</v>
      </c>
      <c r="G97">
        <v>53</v>
      </c>
      <c r="H97">
        <v>53</v>
      </c>
      <c r="I97">
        <v>3</v>
      </c>
      <c r="J97" s="2">
        <f t="shared" ref="J97:J101" ca="1" si="0">RANDBETWEEN(100, 2000)/1000</f>
        <v>1.4379999999999999</v>
      </c>
      <c r="K97" s="1">
        <v>46113</v>
      </c>
      <c r="L97" t="s">
        <v>53</v>
      </c>
    </row>
    <row r="98" spans="2:12" x14ac:dyDescent="0.35">
      <c r="B98" t="s">
        <v>50</v>
      </c>
      <c r="C98" t="s">
        <v>45</v>
      </c>
      <c r="D98" t="s">
        <v>46</v>
      </c>
      <c r="E98">
        <v>1</v>
      </c>
      <c r="F98" t="s">
        <v>12</v>
      </c>
      <c r="G98">
        <v>30</v>
      </c>
      <c r="H98">
        <v>30</v>
      </c>
      <c r="I98">
        <v>6</v>
      </c>
      <c r="J98" s="2">
        <f t="shared" ca="1" si="0"/>
        <v>1.458</v>
      </c>
      <c r="K98" s="1">
        <v>46113</v>
      </c>
      <c r="L98" t="s">
        <v>53</v>
      </c>
    </row>
    <row r="99" spans="2:12" x14ac:dyDescent="0.35">
      <c r="B99" t="s">
        <v>41</v>
      </c>
      <c r="C99" t="s">
        <v>14</v>
      </c>
      <c r="D99" t="s">
        <v>47</v>
      </c>
      <c r="E99">
        <v>1</v>
      </c>
      <c r="F99" t="s">
        <v>12</v>
      </c>
      <c r="G99">
        <v>9</v>
      </c>
      <c r="H99">
        <v>9</v>
      </c>
      <c r="I99">
        <v>4</v>
      </c>
      <c r="J99" s="2">
        <f t="shared" ca="1" si="0"/>
        <v>0.34899999999999998</v>
      </c>
      <c r="K99" s="1">
        <v>46113</v>
      </c>
      <c r="L99" t="s">
        <v>53</v>
      </c>
    </row>
    <row r="100" spans="2:12" x14ac:dyDescent="0.35">
      <c r="B100" t="s">
        <v>16</v>
      </c>
      <c r="C100" t="s">
        <v>17</v>
      </c>
      <c r="D100" t="s">
        <v>47</v>
      </c>
      <c r="E100">
        <v>1</v>
      </c>
      <c r="F100" t="s">
        <v>12</v>
      </c>
      <c r="G100">
        <v>243</v>
      </c>
      <c r="H100">
        <v>243</v>
      </c>
      <c r="I100">
        <v>2</v>
      </c>
      <c r="J100" s="2">
        <f t="shared" ca="1" si="0"/>
        <v>1.1399999999999999</v>
      </c>
      <c r="K100" s="1">
        <v>46113</v>
      </c>
      <c r="L100" t="s">
        <v>53</v>
      </c>
    </row>
    <row r="101" spans="2:12" x14ac:dyDescent="0.35">
      <c r="B101" t="s">
        <v>18</v>
      </c>
      <c r="C101" t="s">
        <v>17</v>
      </c>
      <c r="D101" t="s">
        <v>47</v>
      </c>
      <c r="E101">
        <v>1</v>
      </c>
      <c r="F101" t="s">
        <v>12</v>
      </c>
      <c r="G101">
        <v>64</v>
      </c>
      <c r="H101">
        <v>10</v>
      </c>
      <c r="I101">
        <v>2</v>
      </c>
      <c r="J101" s="2">
        <f t="shared" ca="1" si="0"/>
        <v>0.97699999999999998</v>
      </c>
      <c r="K101" s="1">
        <v>46113</v>
      </c>
      <c r="L101" t="s">
        <v>53</v>
      </c>
    </row>
    <row r="102" spans="2:12" x14ac:dyDescent="0.35">
      <c r="B102" t="s">
        <v>19</v>
      </c>
      <c r="C102" t="s">
        <v>20</v>
      </c>
      <c r="D102" t="s">
        <v>21</v>
      </c>
      <c r="E102">
        <v>0.2</v>
      </c>
      <c r="F102" t="s">
        <v>26</v>
      </c>
      <c r="G102">
        <v>39</v>
      </c>
      <c r="H102">
        <v>7.8</v>
      </c>
      <c r="I102">
        <v>0.8</v>
      </c>
      <c r="J102" s="2">
        <v>1.5580000000000001</v>
      </c>
      <c r="K102" s="1">
        <v>46113</v>
      </c>
      <c r="L102" t="s">
        <v>53</v>
      </c>
    </row>
    <row r="103" spans="2:12" x14ac:dyDescent="0.35">
      <c r="B103" t="s">
        <v>27</v>
      </c>
      <c r="C103" t="s">
        <v>24</v>
      </c>
      <c r="D103" t="s">
        <v>28</v>
      </c>
      <c r="E103">
        <v>0.5</v>
      </c>
      <c r="F103" t="s">
        <v>26</v>
      </c>
      <c r="G103">
        <v>55</v>
      </c>
      <c r="H103">
        <v>37.5</v>
      </c>
      <c r="I103">
        <v>0.5</v>
      </c>
      <c r="J103" s="2">
        <v>7.0309999999999997</v>
      </c>
      <c r="K103" s="1">
        <v>46113</v>
      </c>
      <c r="L103" t="s">
        <v>53</v>
      </c>
    </row>
    <row r="104" spans="2:12" x14ac:dyDescent="0.35">
      <c r="B104" t="s">
        <v>29</v>
      </c>
      <c r="C104" t="s">
        <v>30</v>
      </c>
      <c r="D104" t="s">
        <v>25</v>
      </c>
      <c r="E104">
        <v>0.5</v>
      </c>
      <c r="F104" t="s">
        <v>12</v>
      </c>
      <c r="G104">
        <v>112</v>
      </c>
      <c r="H104">
        <v>56</v>
      </c>
      <c r="I104">
        <v>3</v>
      </c>
      <c r="J104" s="2">
        <v>1.6539999999999999</v>
      </c>
      <c r="K104" s="1">
        <v>46113</v>
      </c>
      <c r="L104" t="s">
        <v>53</v>
      </c>
    </row>
    <row r="105" spans="2:12" x14ac:dyDescent="0.35">
      <c r="B105" t="s">
        <v>31</v>
      </c>
      <c r="C105" t="s">
        <v>32</v>
      </c>
      <c r="D105" t="s">
        <v>33</v>
      </c>
      <c r="E105">
        <v>0.5</v>
      </c>
      <c r="F105" t="s">
        <v>26</v>
      </c>
      <c r="G105">
        <v>113</v>
      </c>
      <c r="H105">
        <v>56.5</v>
      </c>
      <c r="I105">
        <v>1.5</v>
      </c>
      <c r="J105" s="2">
        <v>1.365</v>
      </c>
      <c r="K105" s="1">
        <v>46113</v>
      </c>
      <c r="L105" t="s">
        <v>53</v>
      </c>
    </row>
    <row r="106" spans="2:12" x14ac:dyDescent="0.35">
      <c r="B106" t="s">
        <v>48</v>
      </c>
      <c r="C106" t="s">
        <v>34</v>
      </c>
      <c r="D106" t="s">
        <v>25</v>
      </c>
      <c r="E106">
        <v>0.5</v>
      </c>
      <c r="F106" t="s">
        <v>12</v>
      </c>
      <c r="G106">
        <v>8</v>
      </c>
      <c r="H106">
        <v>4</v>
      </c>
      <c r="I106">
        <v>2</v>
      </c>
      <c r="J106" s="2">
        <v>3.8780000000000001</v>
      </c>
      <c r="K106" s="1">
        <v>46113</v>
      </c>
      <c r="L106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months</vt:lpstr>
    </vt:vector>
  </TitlesOfParts>
  <Company>The 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Tran</dc:creator>
  <cp:lastModifiedBy>Duc Tran</cp:lastModifiedBy>
  <dcterms:created xsi:type="dcterms:W3CDTF">2026-10-12T08:23:04Z</dcterms:created>
  <dcterms:modified xsi:type="dcterms:W3CDTF">2026-10-14T09:01:10Z</dcterms:modified>
</cp:coreProperties>
</file>